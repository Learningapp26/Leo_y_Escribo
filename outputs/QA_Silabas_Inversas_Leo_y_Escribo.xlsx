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ce172aba5e4f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A Lección" sheetId="1" r:id="R72a88ec798754725"/>
    <x:sheet xmlns:r="http://schemas.openxmlformats.org/officeDocument/2006/relationships" name="Observaciones" sheetId="2" r:id="Rf3e49b80fad34c76"/>
    <x:sheet xmlns:r="http://schemas.openxmlformats.org/officeDocument/2006/relationships" name="Catálogos" sheetId="3" r:id="R6ecc0c2d47c143bf"/>
  </x:sheets>
</x:workbook>
</file>

<file path=xl/sharedStrings.xml><?xml version="1.0" encoding="utf-8"?>
<x:sst xmlns:x="http://schemas.openxmlformats.org/spreadsheetml/2006/main">
  <x:si>
    <x:t xml:space="preserve">PLANTILLA DE QA DE LECCIONES</x:t>
  </x:si>
  <x:si>
    <x:t xml:space="preserve">Proyecto Leo y Escribo · Marquen  Sí / No / N/A y documenten cualquier fallo en la hoja Observaciones.</x:t>
  </x:si>
  <x:si>
    <x:t xml:space="preserve">Nombre de quien realiza QA</x:t>
  </x:si>
  <x:si>
    <x:t xml:space="preserve">Lección revisada</x:t>
  </x:si>
  <x:si>
    <x:t xml:space="preserve">Owner de la lección</x:t>
  </x:si>
  <x:si>
    <x:t xml:space="preserve">Adriana</x:t>
  </x:si>
  <x:si>
    <x:t xml:space="preserve">Fecha de QA</x:t>
  </x:si>
  <x:si>
    <x:t xml:space="preserve">Sprint / entrega</x:t>
  </x:si>
  <x:si>
    <x:t xml:space="preserve">Unidad</x:t>
  </x:si>
  <x:si>
    <x:t xml:space="preserve">Rama / commit revisado</x:t>
  </x:si>
  <x:si>
    <x:t xml:space="preserve">Versión / ambiente</x:t>
  </x:si>
  <x:si>
    <x:t xml:space="preserve">RESUMEN DE QA</x:t>
  </x:si>
  <x:si>
    <x:t xml:space="preserve">Criterios revisados</x:t>
  </x:si>
  <x:si>
    <x:t xml:space="preserve">Cumple</x:t>
  </x:si>
  <x:si>
    <x:t xml:space="preserve">No cumple</x:t>
  </x:si>
  <x:si>
    <x:t xml:space="preserve">N/A</x:t>
  </x:si>
  <x:si>
    <x:t xml:space="preserve">No.</x:t>
  </x:si>
  <x:si>
    <x:t xml:space="preserve">Categoría</x:t>
  </x:si>
  <x:si>
    <x:t xml:space="preserve">Criterio de revisión</x:t>
  </x:si>
  <x:si>
    <x:t xml:space="preserve">Resultado</x:t>
  </x:si>
  <x:si>
    <x:t xml:space="preserve">Comentario breve</x:t>
  </x:si>
  <x:si>
    <x:t xml:space="preserve">Archivo / pantalla</x:t>
  </x:si>
  <x:si>
    <x:t xml:space="preserve">¿Generó observación?</x:t>
  </x:si>
  <x:si>
    <x:t xml:space="preserve">No. observación</x:t>
  </x:si>
  <x:si>
    <x:t xml:space="preserve">Componentes</x:t>
  </x:si>
  <x:si>
    <x:t xml:space="preserve">Usa los componentes reutilizables existentes (Button, Card, BackButton, ProgressBar, StarsCounter, navegación, etc.) cuando corresponde.</x:t>
  </x:si>
  <x:si>
    <x:t xml:space="preserve">No reemplaza un componente existente por HTML directo o una solución duplicada sin necesidad.</x:t>
  </x:si>
  <x:si>
    <x:t xml:space="preserve">Los botones de opciones/respuestas usan el componente Button y mantienen sus estados correctamente.</x:t>
  </x:si>
  <x:si>
    <x:t xml:space="preserve">Las tarjetas o bloques de contenido usan Card cuando el patrón ya existe en el proyecto.</x:t>
  </x:si>
  <x:si>
    <x:t xml:space="preserve">CSS / estilos</x:t>
  </x:si>
  <x:si>
    <x:t xml:space="preserve">No se creó un CSS exclusivo de la lección si la distribución podía resolverse con estilos compartidos ya existentes.</x:t>
  </x:si>
  <x:si>
    <x:t xml:space="preserve">Reutiliza reading.css, selection.css, completion.css, syllables.css u otros estilos compartidos según el tipo de actividad.</x:t>
  </x:si>
  <x:si>
    <x:t xml:space="preserve">No hay colores, fuentes, tamaños o espaciados hardcodeados que deban venir de variables o tokens globales.</x:t>
  </x:si>
  <x:si>
    <x:t xml:space="preserve">La lección usa el tema de unidad correspondiente mediante getLessonThemeClass / lessonColors.</x:t>
  </x:si>
  <x:si>
    <x:t xml:space="preserve">La tipografía y apariencia visual son consistentes con el resto del proyecto.</x:t>
  </x:si>
  <x:si>
    <x:t xml:space="preserve">Estructura</x:t>
  </x:si>
  <x:si>
    <x:t xml:space="preserve">La estructura y distribución de la página se parece al patrón de las lecciones ya aprobadas del proyecto.</x:t>
  </x:si>
  <x:si>
    <x:t xml:space="preserve">El contenido principal está centrado, legible y bien distribuido en desktop.</x:t>
  </x:si>
  <x:si>
    <x:t xml:space="preserve">La página responde correctamente en tamaños de pantalla más pequeños y no presenta desbordamientos.</x:t>
  </x:si>
  <x:si>
    <x:t xml:space="preserve">Contenido</x:t>
  </x:si>
  <x:si>
    <x:t xml:space="preserve">El contenido corresponde al libro y al análisis de adaptación de Leo y Escribo.</x:t>
  </x:si>
  <x:si>
    <x:t xml:space="preserve">Los cuentos o lecturas no fueron acortados ni cambiados sin justificación.</x:t>
  </x:si>
  <x:si>
    <x:t xml:space="preserve">Las actividades de escritura física fueron adaptadas a selección, clic, asociación u otra interacción digital cuando corresponde.</x:t>
  </x:si>
  <x:si>
    <x:t xml:space="preserve">Las instrucciones son claras, simples y adecuadas para niños de primero primaria.</x:t>
  </x:si>
  <x:si>
    <x:t xml:space="preserve">La letra o combinación trabajada se presenta de forma clara y sin generar confusión visual.</x:t>
  </x:si>
  <x:si>
    <x:t xml:space="preserve">Imágenes</x:t>
  </x:si>
  <x:si>
    <x:t xml:space="preserve">Todas las imágenes cargan correctamente y usan la ruta pública esperada.</x:t>
  </x:si>
  <x:si>
    <x:t xml:space="preserve">Las imágenes están completas, centradas, sin partes de otras imágenes, sin texto incrustado innecesario y con buena calidad.</x:t>
  </x:si>
  <x:si>
    <x:t xml:space="preserve">Los textos alternativos (alt) describen correctamente la imagen.</x:t>
  </x:si>
  <x:si>
    <x:t xml:space="preserve">Audio</x:t>
  </x:si>
  <x:si>
    <x:t xml:space="preserve">Existe botón de audio en instrucciones y partes importantes de la actividad cuando corresponde.</x:t>
  </x:si>
  <x:si>
    <x:t xml:space="preserve">Los audios cargan y reproducen correctamente, y las rutas/nombres coinciden con los archivos.</x:t>
  </x:si>
  <x:si>
    <x:t xml:space="preserve">Navegación</x:t>
  </x:si>
  <x:si>
    <x:t xml:space="preserve">BackButton, botones de siguiente/anterior y rutas de actividades llevan al lugar correcto.</x:t>
  </x:si>
  <x:si>
    <x:t xml:space="preserve">No existen rutas rotas ni navegación hacia páginas inexistentes.</x:t>
  </x:si>
  <x:si>
    <x:t xml:space="preserve">Funcionalidad</x:t>
  </x:si>
  <x:si>
    <x:t xml:space="preserve">Las respuestas correctas e incorrectas se validan correctamente.</x:t>
  </x:si>
  <x:si>
    <x:t xml:space="preserve">Los estados de selección, correcto, incorrecto, reintento y finalización funcionan como se espera.</x:t>
  </x:si>
  <x:si>
    <x:t xml:space="preserve">No se puede avanzar indebidamente cuando una actividad requiere respuesta correcta antes de continuar.</x:t>
  </x:si>
  <x:si>
    <x:t xml:space="preserve">ProgressBar / StarsCounter reflejan correctamente el avance cuando se utilizan.</x:t>
  </x:si>
  <x:si>
    <x:t xml:space="preserve">Accesibilidad</x:t>
  </x:si>
  <x:si>
    <x:t xml:space="preserve">Los elementos interactivos tienen textos comprensibles, aria-label/aria-pressed cuando corresponde y no dependen solo del color.</x:t>
  </x:si>
  <x:si>
    <x:t xml:space="preserve">Código</x:t>
  </x:si>
  <x:si>
    <x:t xml:space="preserve">No hay variables/imports sin usar, errores evidentes de lint ni código duplicado innecesario.</x:t>
  </x:si>
  <x:si>
    <x:t xml:space="preserve">No hay console.log, valores temporales o código de prueba que deba eliminarse antes de integrar.</x:t>
  </x:si>
  <x:si>
    <x:t xml:space="preserve">Pruebas</x:t>
  </x:si>
  <x:si>
    <x:t xml:space="preserve">La lección se probó de inicio a fin sin errores visibles en consola.</x:t>
  </x:si>
  <x:si>
    <x:t xml:space="preserve">Se comprobó al menos una respuesta correcta, una incorrecta y el flujo de reintento en cada tipo de actividad.</x:t>
  </x:si>
  <x:si>
    <x:t xml:space="preserve">Resultado general</x:t>
  </x:si>
  <x:si>
    <x:t xml:space="preserve">Nota: si un criterio se marca como “No”, crea una observación numerada en la hoja Observaciones y coloca ese número en la última columna.</x:t>
  </x:si>
  <x:si>
    <x:t xml:space="preserve">REGISTRO DE OBSERVACIONES / HALLAZGOS</x:t>
  </x:si>
  <x:si>
    <x:t xml:space="preserve">Usen una fila por observación. En Evidencia pueden pegar una captura de pantalla directamente sobre el área de la celda.</x:t>
  </x:si>
  <x:si>
    <x:t xml:space="preserve">Tipo QA</x:t>
  </x:si>
  <x:si>
    <x:t xml:space="preserve">Severidad</x:t>
  </x:si>
  <x:si>
    <x:t xml:space="preserve">Descripción del fallo</x:t>
  </x:si>
  <x:si>
    <x:t xml:space="preserve">Lugar exacto del fallo</x:t>
  </x:si>
  <x:si>
    <x:t xml:space="preserve">Evidencia (pegar captura aquí)</x:t>
  </x:si>
  <x:si>
    <x:t xml:space="preserve">Estado</x:t>
  </x:si>
  <x:si>
    <x:t xml:space="preserve">Responsable de corrección</x:t>
  </x:si>
  <x:si>
    <x:t xml:space="preserve">Fecha corrección</x:t>
  </x:si>
  <x:si>
    <x:t xml:space="preserve">Validación / comentario final</x:t>
  </x:si>
  <x:si>
    <x:t xml:space="preserve">Pendiente</x:t>
  </x:si>
  <x:si>
    <x:t xml:space="preserve">Criterio de severidad sugerido</x:t>
  </x:si>
  <x:si>
    <x:t xml:space="preserve">Alta: impide completar la lección, rompe navegación o muestra contenido incorrecto. · Media: afecta interacción, diseño, audio, imagen o consistencia. · Baja: detalle visual, texto menor o mejora recomendada.</x:t>
  </x:si>
  <x:si>
    <x:t xml:space="preserve">Estado observación</x:t>
  </x:si>
  <x:si>
    <x:t xml:space="preserve">Sí</x:t>
  </x:si>
  <x:si>
    <x:t xml:space="preserve">Alta</x:t>
  </x:si>
  <x:si>
    <x:t xml:space="preserve">Funcional</x:t>
  </x:si>
  <x:si>
    <x:t xml:space="preserve">No</x:t>
  </x:si>
  <x:si>
    <x:t xml:space="preserve">Media</x:t>
  </x:si>
  <x:si>
    <x:t xml:space="preserve">Corregido</x:t>
  </x:si>
  <x:si>
    <x:t xml:space="preserve">Visual</x:t>
  </x:si>
  <x:si>
    <x:t xml:space="preserve">Baja</x:t>
  </x:si>
  <x:si>
    <x:t xml:space="preserve">Validado</x:t>
  </x:si>
  <x:si>
    <x:t xml:space="preserve">Código / Estilos</x:t>
  </x:si>
</x:sst>
</file>

<file path=xl/styles.xml><?xml version="1.0" encoding="utf-8"?>
<x:styleSheet xmlns:x="http://schemas.openxmlformats.org/spreadsheetml/2006/main">
  <x:numFmts count="1">
    <x:numFmt numFmtId="200" formatCode="m/d/yy"/>
  </x:numFmts>
  <x:fonts count="9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243B53"/>
      <x:name val="Carlito"/>
    </x:font>
    <x:font>
      <x:b/>
      <x:sz val="11"/>
      <x:color rgb="FF243B53"/>
      <x:name val="Carlito"/>
    </x:font>
    <x:font>
      <x:b/>
      <x:sz val="14"/>
      <x:color rgb="FF243B53"/>
      <x:name val="Carlito"/>
    </x:font>
    <x:font>
      <x:b/>
      <x:sz val="12"/>
      <x:color rgb="FF243B53"/>
      <x:name val="Carlito"/>
    </x:font>
    <x:font>
      <x:b/>
      <x:sz val="15"/>
      <x:color rgb="FFFFFFFF"/>
      <x:name val="Carlito"/>
    </x:font>
    <x:font>
      <x:sz val="11"/>
      <x:color rgb="FF243B5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EAF2F8"/>
      </x:patternFill>
    </x:fill>
    <x:fill>
      <x:patternFill patternType="solid">
        <x:fgColor rgb="FFE8F3F3"/>
      </x:patternFill>
    </x:fill>
    <x:fill>
      <x:patternFill patternType="solid">
        <x:fgColor rgb="FF2F7D7E"/>
      </x:patternFill>
    </x:fill>
    <x:fill>
      <x:patternFill patternType="solid">
        <x:fgColor rgb="FFF4F6F8"/>
      </x:patternFill>
    </x:fill>
    <x:fill>
      <x:patternFill patternType="solid">
        <x:fgColor rgb="FFFFF7D6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0" fillId="0" borderId="0" xfId="0" applyAlignment="1">
      <x:alignment wrapText="1"/>
    </x:xf>
    <x:xf numFmtId="0" fontId="0" fillId="0" borderId="1" xfId="0" applyBorder="1" applyAlignment="1">
      <x:alignment wrapText="1"/>
    </x:xf>
    <x:xf numFmtId="14" fontId="0" fillId="0" borderId="0" xfId="0" applyNumberFormat="1" applyAlignment="1">
      <x:alignment wrapText="1"/>
    </x:xf>
    <x:xf numFmtId="0" fontId="0" fillId="0" borderId="0" xfId="0" applyAlignment="1">
      <x:alignment horizontal="center" vertical="center"/>
    </x:xf>
    <x:xf numFmtId="0" fontId="4" fillId="4" borderId="0" xfId="0" applyFont="1" applyFill="1" applyAlignment="1">
      <x:alignment horizontal="center" vertical="center" wrapText="1"/>
    </x:xf>
    <x:xf numFmtId="14" fontId="0" fillId="0" borderId="0" xfId="0" applyNumberFormat="1" applyAlignment="1">
      <x:alignment horizontal="center" vertical="center"/>
    </x:xf>
    <x:xf numFmtId="0" fontId="0" fillId="0" borderId="0" xfId="0" applyAlignment="1">
      <x:alignment horizontal="center" vertical="center" wrapText="1"/>
    </x:xf>
    <x:xf numFmtId="0" fontId="0" fillId="0" borderId="1" xfId="0" applyBorder="1" applyAlignment="1">
      <x:alignment horizontal="center" vertical="center" wrapText="1"/>
    </x:xf>
    <x:xf numFmtId="0" fontId="1" fillId="2" borderId="1" xfId="0" applyFont="1" applyFill="1" applyBorder="1" applyAlignment="1">
      <x:alignment horizontal="center" vertical="center" wrapText="1"/>
    </x:xf>
    <x:xf numFmtId="0" fontId="1" fillId="5" borderId="1" xfId="0" applyFont="1" applyFill="1" applyBorder="1" applyAlignment="1">
      <x:alignment horizontal="center" vertical="center" wrapText="1"/>
    </x:xf>
    <x:xf numFmtId="14" fontId="0" fillId="0" borderId="1" xfId="0" applyNumberFormat="1" applyBorder="1" applyAlignment="1">
      <x:alignment wrapText="1"/>
    </x:xf>
    <x:xf numFmtId="0" fontId="3" fillId="7" borderId="0" xfId="0" applyFont="1" applyFill="1" applyAlignment="1">
      <x:alignment horizontal="center" vertical="center" wrapText="1"/>
    </x:xf>
    <x:xf numFmtId="0" fontId="5" fillId="0" borderId="0" xfId="0" applyFont="1" applyAlignment="1">
      <x:alignment horizontal="center" vertical="center"/>
    </x:xf>
    <x:xf numFmtId="0" fontId="4" fillId="4" borderId="0" xfId="0" applyFont="1" applyFill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3" fillId="3" borderId="0" xfId="0" applyFont="1" applyFill="1" applyAlignment="1">
      <x:alignment horizontal="center" vertical="center" wrapText="1"/>
    </x:xf>
    <x:xf numFmtId="0" fontId="1" fillId="5" borderId="0" xfId="0" applyFont="1" applyFill="1" applyAlignment="1">
      <x:alignment horizontal="center" vertical="center"/>
    </x:xf>
    <x:xf numFmtId="0" fontId="4" fillId="6" borderId="0" xfId="0" applyFont="1" applyFill="1" applyAlignment="1">
      <x:alignment horizontal="center" vertical="center"/>
    </x:xf>
    <x:xf numFmtId="0" fontId="7" fillId="2" borderId="0" xfId="0" applyFont="1" applyFill="1" applyAlignment="1">
      <x:alignment horizontal="center" vertical="center"/>
    </x:xf>
    <x:xf numFmtId="0" fontId="3" fillId="3" borderId="0" xfId="0" applyFont="1" applyFill="1" applyAlignment="1">
      <x:alignment horizontal="center" wrapText="1"/>
    </x:xf>
    <x:xf numFmtId="0" fontId="1" fillId="2" borderId="0" xfId="0" applyFont="1" applyFill="1" applyAlignment="1">
      <x:alignment horizontal="center"/>
    </x:xf>
    <x:xf numFmtId="0" fontId="8" fillId="6" borderId="0" xfId="0" applyFont="1" applyFill="1" applyAlignment="1">
      <x:alignment wrapText="1"/>
    </x:xf>
    <x:xf numFmtId="200" fontId="0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8">
    <x:dxf>
      <x:font>
        <x:b/>
        <x:color rgb="FF1B5E20"/>
      </x:font>
      <x:fill>
        <x:patternFill>
          <x:bgColor rgb="FFEAF6EC"/>
        </x:patternFill>
      </x:fill>
    </x:dxf>
    <x:dxf>
      <x:font>
        <x:b/>
        <x:color rgb="FFB71C1C"/>
      </x:font>
      <x:fill>
        <x:patternFill>
          <x:bgColor rgb="FFFDECEC"/>
        </x:patternFill>
      </x:fill>
    </x:dxf>
    <x:dxf>
      <x:font>
        <x:color rgb="FF1B5E20"/>
      </x:font>
      <x:fill>
        <x:patternFill>
          <x:bgColor rgb="FFEAF6EC"/>
        </x:patternFill>
      </x:fill>
    </x:dxf>
    <x:dxf>
      <x:font>
        <x:b/>
        <x:color rgb="FF7A5A00"/>
      </x:font>
      <x:fill>
        <x:patternFill>
          <x:bgColor rgb="FFFFF7D6"/>
        </x:patternFill>
      </x:fill>
    </x:dxf>
    <x:dxf>
      <x:font>
        <x:b/>
        <x:color rgb="FFB71C1C"/>
      </x:font>
      <x:fill>
        <x:patternFill>
          <x:bgColor rgb="FFFDECEC"/>
        </x:patternFill>
      </x:fill>
    </x:dxf>
    <x:dxf>
      <x:font>
        <x:color rgb="FF243B53"/>
      </x:font>
      <x:fill>
        <x:patternFill>
          <x:bgColor rgb="FFF4F6F8"/>
        </x:patternFill>
      </x:fill>
    </x:dxf>
    <x:dxf>
      <x:font>
        <x:b/>
        <x:color rgb="FFB71C1C"/>
      </x:font>
      <x:fill>
        <x:patternFill>
          <x:bgColor rgb="FFFDECEC"/>
        </x:patternFill>
      </x:fill>
    </x:dxf>
    <x:dxf>
      <x:font>
        <x:b/>
        <x:color rgb="FF1B5E20"/>
      </x:font>
      <x:fill>
        <x:patternFill>
          <x:bgColor rgb="FFEAF6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61d51c61fc4943" /><Relationship Type="http://schemas.openxmlformats.org/officeDocument/2006/relationships/theme" Target="/xl/theme/theme1.xml" Id="R93b4e8d1f9164850" /><Relationship Type="http://schemas.openxmlformats.org/officeDocument/2006/relationships/sharedStrings" Target="/xl/sharedStrings.xml" Id="R7c41a38a6fb841d2" /><Relationship Type="http://schemas.openxmlformats.org/officeDocument/2006/relationships/worksheet" Target="/xl/worksheets/sheet1.xml" Id="R72a88ec798754725" /><Relationship Type="http://schemas.openxmlformats.org/officeDocument/2006/relationships/worksheet" Target="/xl/worksheets/sheet2.xml" Id="Rf3e49b80fad34c76" /><Relationship Type="http://schemas.openxmlformats.org/officeDocument/2006/relationships/worksheet" Target="/xl/worksheets/sheet3.xml" Id="R6ecc0c2d47c143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69921875" defaultRowHeight="13.800000190734863"/>
  <x:cols>
    <x:col min="1" max="1" width="6.69921875" style="5" customWidth="1"/>
    <x:col min="2" max="2" width="18" style="5" customWidth="1"/>
    <x:col min="3" max="3" width="52" style="5" customWidth="1"/>
    <x:col min="4" max="4" width="12" style="5" customWidth="1"/>
    <x:col min="5" max="5" width="30" style="5" customWidth="1"/>
    <x:col min="6" max="6" width="28" style="5" customWidth="1"/>
    <x:col min="7" max="7" width="16" style="5" customWidth="1"/>
    <x:col min="8" max="8" width="14" style="5" customWidth="1"/>
    <x:col min="9" max="16384" width="8.69921875" style="5" customWidth="0"/>
  </x:cols>
  <x:sheetData>
    <x:row r="1" ht="24" customHeight="1">
      <x:c r="A1" s="17" t="s">
        <x:v>0</x:v>
      </x:c>
      <x:c r="B1" s="17"/>
      <x:c r="C1" s="17"/>
      <x:c r="D1" s="17"/>
      <x:c r="E1" s="17"/>
      <x:c r="F1" s="17"/>
      <x:c r="G1" s="17"/>
      <x:c r="H1" s="17"/>
    </x:row>
    <x:row r="2" ht="24" customHeight="1">
      <x:c r="A2" s="18" t="s">
        <x:v>1</x:v>
      </x:c>
      <x:c r="B2" s="18"/>
      <x:c r="C2" s="18"/>
      <x:c r="D2" s="18"/>
      <x:c r="E2" s="18"/>
      <x:c r="F2" s="18"/>
      <x:c r="G2" s="18"/>
      <x:c r="H2" s="18"/>
    </x:row>
    <x:row r="4" ht="69">
      <x:c r="A4" s="6" t="s">
        <x:v>2</x:v>
      </x:c>
      <x:c r="B4" s="5" t="str">
        <x:v>Codex (revisión técnica)</x:v>
      </x:c>
      <x:c r="C4" s="6" t="s">
        <x:v>3</x:v>
      </x:c>
      <x:c r="D4" s="5" t="str">
        <x:v>Sílabas inversas</x:v>
      </x:c>
      <x:c r="E4" s="6" t="s">
        <x:v>4</x:v>
      </x:c>
      <x:c r="F4" s="5" t="s">
        <x:v>5</x:v>
      </x:c>
      <x:c r="G4" s="6" t="s">
        <x:v>6</x:v>
      </x:c>
      <x:c r="H4" s="25" t="n">
        <x:v>46254</x:v>
      </x:c>
    </x:row>
    <x:row r="5" ht="55.20000076293945">
      <x:c r="A5" s="6" t="s">
        <x:v>7</x:v>
      </x:c>
      <x:c r="B5" s="5" t="n">
        <x:v>4</x:v>
      </x:c>
      <x:c r="C5" s="6" t="s">
        <x:v>8</x:v>
      </x:c>
      <x:c r="D5" s="5" t="n">
        <x:v>2</x:v>
      </x:c>
      <x:c r="E5" s="6" t="s">
        <x:v>9</x:v>
      </x:c>
      <x:c r="F5" s="5" t="str">
        <x:v>d5d1e5f (revisión local)</x:v>
      </x:c>
      <x:c r="G5" s="6" t="s">
        <x:v>10</x:v>
      </x:c>
      <x:c r="H5" t="str">
        <x:v>Local · Vite 8.1.4</x:v>
      </x:c>
    </x:row>
    <x:row r="7">
      <x:c r="A7" s="19" t="s">
        <x:v>11</x:v>
      </x:c>
      <x:c r="B7" s="19"/>
      <x:c r="C7" s="19"/>
      <x:c r="D7" s="19"/>
      <x:c r="E7" s="19"/>
      <x:c r="F7" s="19"/>
      <x:c r="G7" s="19"/>
      <x:c r="H7" s="19"/>
    </x:row>
    <x:row r="8">
      <x:c r="A8" s="20" t="s">
        <x:v>12</x:v>
      </x:c>
      <x:c r="B8" s="20"/>
      <x:c r="C8" s="20" t="s">
        <x:v>13</x:v>
      </x:c>
      <x:c r="D8" s="20"/>
      <x:c r="E8" s="20" t="s">
        <x:v>14</x:v>
      </x:c>
      <x:c r="F8" s="20"/>
      <x:c r="G8" s="20" t="s">
        <x:v>15</x:v>
      </x:c>
      <x:c r="H8" s="20"/>
    </x:row>
    <x:row r="9" ht="19.200000762939453" customHeight="1">
      <x:c r="A9" s="14" t="n">
        <x:f>COUNTIF(D13:D45,"Sí")+COUNTIF(D13:D45,"No")+COUNTIF(D13:D45,"N/A")</x:f>
        <x:v>33</x:v>
      </x:c>
      <x:c r="B9" s="14"/>
      <x:c r="C9" s="14" t="n">
        <x:f>COUNTIF(D13:D45,"Sí")</x:f>
        <x:v>27</x:v>
      </x:c>
      <x:c r="D9" s="14"/>
      <x:c r="E9" s="14" t="n">
        <x:f>COUNTIF(D13:D45,"No")</x:f>
        <x:v>4</x:v>
      </x:c>
      <x:c r="F9" s="14"/>
      <x:c r="G9" s="14" t="n">
        <x:f>COUNTIF(D13:D45,"N/A")</x:f>
        <x:v>2</x:v>
      </x:c>
      <x:c r="H9" s="14"/>
    </x:row>
    <x:row r="12" ht="25.649999618530273" customHeight="1">
      <x:c r="A12" s="10" t="s">
        <x:v>16</x:v>
      </x:c>
      <x:c r="B12" s="10" t="s">
        <x:v>17</x:v>
      </x:c>
      <x:c r="C12" s="10" t="s">
        <x:v>18</x:v>
      </x:c>
      <x:c r="D12" s="10" t="s">
        <x:v>19</x:v>
      </x:c>
      <x:c r="E12" s="10" t="s">
        <x:v>20</x:v>
      </x:c>
      <x:c r="F12" s="10" t="s">
        <x:v>21</x:v>
      </x:c>
      <x:c r="G12" s="10" t="s">
        <x:v>22</x:v>
      </x:c>
      <x:c r="H12" s="10" t="s">
        <x:v>23</x:v>
      </x:c>
    </x:row>
    <x:row r="13" ht="39.599998474121094" hidden="0" customHeight="1">
      <x:c r="A13" s="9">
        <x:v>1</x:v>
      </x:c>
      <x:c r="B13" s="8" t="s">
        <x:v>24</x:v>
      </x:c>
      <x:c r="C13" s="8" t="s">
        <x:v>25</x:v>
      </x:c>
      <x:c r="D13" s="8" t="str">
        <x:v>Sí</x:v>
      </x:c>
      <x:c r="E13" s="8" t="str">
        <x:v>Reutiliza Button, Card, BackButton y ProgressBar.</x:v>
      </x:c>
      <x:c r="F13" s="8" t="str">
        <x:v>Páginas L, S y N</x:v>
      </x:c>
      <x:c r="G13" s="8" t="str">
        <x:v>No</x:v>
      </x:c>
      <x:c r="H13" s="9" t="str"/>
    </x:row>
    <x:row r="14" ht="26.399999618530273" hidden="0" customHeight="1">
      <x:c r="A14" s="9">
        <x:v>2</x:v>
      </x:c>
      <x:c r="B14" s="8" t="s">
        <x:v>24</x:v>
      </x:c>
      <x:c r="C14" s="8" t="s">
        <x:v>26</x:v>
      </x:c>
      <x:c r="D14" s="8" t="str">
        <x:v>Sí</x:v>
      </x:c>
      <x:c r="E14" s="8" t="str">
        <x:v>Las selecciones comparten el patrón existente y sus estilos.</x:v>
      </x:c>
      <x:c r="F14" s="8" t="str">
        <x:v>Páginas L, S y N</x:v>
      </x:c>
      <x:c r="G14" s="8" t="str">
        <x:v>No</x:v>
      </x:c>
      <x:c r="H14" s="9" t="str"/>
    </x:row>
    <x:row r="15" ht="39.599998474121094" hidden="0" customHeight="1">
      <x:c r="A15" s="9">
        <x:v>3</x:v>
      </x:c>
      <x:c r="B15" s="8" t="s">
        <x:v>24</x:v>
      </x:c>
      <x:c r="C15" s="8" t="s">
        <x:v>27</x:v>
      </x:c>
      <x:c r="D15" s="8" t="str">
        <x:v>No</x:v>
      </x:c>
      <x:c r="E15" s="8" t="str">
        <x:v>Las opciones de respuesta se renderizan con button nativo, no con Button.</x:v>
      </x:c>
      <x:c r="F15" s="8" t="str">
        <x:v>Páginas L, S y N</x:v>
      </x:c>
      <x:c r="G15" s="8" t="str">
        <x:v>Sí</x:v>
      </x:c>
      <x:c r="H15" s="9" t="n">
        <x:v>3</x:v>
      </x:c>
    </x:row>
    <x:row r="16" ht="26.399999618530273" hidden="0" customHeight="1">
      <x:c r="A16" s="9">
        <x:v>4</x:v>
      </x:c>
      <x:c r="B16" s="8" t="s">
        <x:v>24</x:v>
      </x:c>
      <x:c r="C16" s="8" t="s">
        <x:v>28</x:v>
      </x:c>
      <x:c r="D16" s="8" t="str">
        <x:v>Sí</x:v>
      </x:c>
      <x:c r="E16" s="8" t="str">
        <x:v>El menú y los bloques de cada fase usan Card.</x:v>
      </x:c>
      <x:c r="F16" s="8" t="str">
        <x:v>Lección y páginas L, S y N</x:v>
      </x:c>
      <x:c r="G16" s="8" t="str">
        <x:v>No</x:v>
      </x:c>
      <x:c r="H16" s="9" t="str"/>
    </x:row>
    <x:row r="17" ht="26.399999618530273" hidden="0" customHeight="1">
      <x:c r="A17" s="9">
        <x:v>5</x:v>
      </x:c>
      <x:c r="B17" s="8" t="s">
        <x:v>29</x:v>
      </x:c>
      <x:c r="C17" s="8" t="s">
        <x:v>30</x:v>
      </x:c>
      <x:c r="D17" s="8" t="str">
        <x:v>Sí</x:v>
      </x:c>
      <x:c r="E17" s="8" t="str">
        <x:v>No agrega CSS exclusivo; usa estilos ya compartidos.</x:v>
      </x:c>
      <x:c r="F17" s="8" t="str">
        <x:v>selection.css, syllables.css, reading.css</x:v>
      </x:c>
      <x:c r="G17" s="8" t="str">
        <x:v>No</x:v>
      </x:c>
      <x:c r="H17" s="9" t="str"/>
    </x:row>
    <x:row r="18" ht="39.599998474121094" hidden="0" customHeight="1">
      <x:c r="A18" s="9">
        <x:v>6</x:v>
      </x:c>
      <x:c r="B18" s="8" t="s">
        <x:v>29</x:v>
      </x:c>
      <x:c r="C18" s="8" t="s">
        <x:v>31</x:v>
      </x:c>
      <x:c r="D18" s="8" t="str">
        <x:v>Sí</x:v>
      </x:c>
      <x:c r="E18" s="8" t="str">
        <x:v>Reutiliza selection.css, syllables.css, reading.css y completion.css donde aplica.</x:v>
      </x:c>
      <x:c r="F18" s="8" t="str">
        <x:v>Páginas L, S y N</x:v>
      </x:c>
      <x:c r="G18" s="8" t="str">
        <x:v>No</x:v>
      </x:c>
      <x:c r="H18" s="9" t="str"/>
    </x:row>
    <x:row r="19" ht="26.399999618530273" hidden="0" customHeight="1">
      <x:c r="A19" s="9">
        <x:v>7</x:v>
      </x:c>
      <x:c r="B19" s="8" t="s">
        <x:v>29</x:v>
      </x:c>
      <x:c r="C19" s="8" t="s">
        <x:v>32</x:v>
      </x:c>
      <x:c r="D19" s="8" t="str">
        <x:v>Sí</x:v>
      </x:c>
      <x:c r="E19" s="8" t="str">
        <x:v>La lección consume tokens y variables de tema compartidos.</x:v>
      </x:c>
      <x:c r="F19" s="8" t="str">
        <x:v>Estilos compartidos</x:v>
      </x:c>
      <x:c r="G19" s="8" t="str">
        <x:v>No</x:v>
      </x:c>
      <x:c r="H19" s="9" t="str"/>
    </x:row>
    <x:row r="20" ht="26.399999618530273" hidden="0" customHeight="1">
      <x:c r="A20" s="9">
        <x:v>8</x:v>
      </x:c>
      <x:c r="B20" s="8" t="s">
        <x:v>29</x:v>
      </x:c>
      <x:c r="C20" s="8" t="s">
        <x:v>33</x:v>
      </x:c>
      <x:c r="D20" s="8" t="str">
        <x:v>Sí</x:v>
      </x:c>
      <x:c r="E20" s="8" t="str">
        <x:v>getLessonThemeClass asigna correctamente la Unidad 2.</x:v>
      </x:c>
      <x:c r="F20" s="8" t="str">
        <x:v>lessonColors.js</x:v>
      </x:c>
      <x:c r="G20" s="8" t="str">
        <x:v>No</x:v>
      </x:c>
      <x:c r="H20" s="9" t="str"/>
    </x:row>
    <x:row r="21" ht="26.399999618530273" hidden="0" customHeight="1">
      <x:c r="A21" s="9">
        <x:v>9</x:v>
      </x:c>
      <x:c r="B21" s="8" t="s">
        <x:v>29</x:v>
      </x:c>
      <x:c r="C21" s="8" t="s">
        <x:v>34</x:v>
      </x:c>
      <x:c r="D21" s="8" t="str">
        <x:v>Sí</x:v>
      </x:c>
      <x:c r="E21" s="8" t="str">
        <x:v>Mantiene tipografía, tarjetas y estados visuales del proyecto.</x:v>
      </x:c>
      <x:c r="F21" s="8" t="str">
        <x:v>Páginas L, S y N</x:v>
      </x:c>
      <x:c r="G21" s="8" t="str">
        <x:v>No</x:v>
      </x:c>
      <x:c r="H21" s="9" t="str"/>
    </x:row>
    <x:row r="22" ht="26.399999618530273" hidden="0" customHeight="1">
      <x:c r="A22" s="9">
        <x:v>10</x:v>
      </x:c>
      <x:c r="B22" s="8" t="s">
        <x:v>35</x:v>
      </x:c>
      <x:c r="C22" s="8" t="s">
        <x:v>36</x:v>
      </x:c>
      <x:c r="D22" s="8" t="str">
        <x:v>Sí</x:v>
      </x:c>
      <x:c r="E22" s="8" t="str">
        <x:v>Menú y fases siguen el patrón de las lecciones existentes.</x:v>
      </x:c>
      <x:c r="F22" s="8" t="str">
        <x:v>LeccionSilabasInversasPage.jsx</x:v>
      </x:c>
      <x:c r="G22" s="8" t="str">
        <x:v>No</x:v>
      </x:c>
      <x:c r="H22" s="9" t="str"/>
    </x:row>
    <x:row r="23" ht="26.399999618530273" hidden="0" customHeight="1">
      <x:c r="A23" s="9">
        <x:v>11</x:v>
      </x:c>
      <x:c r="B23" s="8" t="s">
        <x:v>35</x:v>
      </x:c>
      <x:c r="C23" s="8" t="s">
        <x:v>37</x:v>
      </x:c>
      <x:c r="D23" s="8" t="str">
        <x:v>Sí</x:v>
      </x:c>
      <x:c r="E23" s="8" t="str">
        <x:v>La estructura usa page, Card y grillas compartidas.</x:v>
      </x:c>
      <x:c r="F23" s="8" t="str">
        <x:v>Páginas L, S y N</x:v>
      </x:c>
      <x:c r="G23" s="8" t="str">
        <x:v>No</x:v>
      </x:c>
      <x:c r="H23" s="9" t="str"/>
    </x:row>
    <x:row r="24" ht="26.399999618530273" hidden="0" customHeight="1">
      <x:c r="A24" s="9">
        <x:v>12</x:v>
      </x:c>
      <x:c r="B24" s="8" t="s">
        <x:v>35</x:v>
      </x:c>
      <x:c r="C24" s="8" t="s">
        <x:v>38</x:v>
      </x:c>
      <x:c r="D24" s="8" t="str">
        <x:v>Sí</x:v>
      </x:c>
      <x:c r="E24" s="8" t="str">
        <x:v>Las grillas y lecturas incluyen quiebres responsive a 900/768/480 px.</x:v>
      </x:c>
      <x:c r="F24" s="8" t="str">
        <x:v>selection.css, syllables.css, reading.css</x:v>
      </x:c>
      <x:c r="G24" s="8" t="str">
        <x:v>No</x:v>
      </x:c>
      <x:c r="H24" s="9" t="str"/>
    </x:row>
    <x:row r="25" ht="26.399999618530273" hidden="0" customHeight="1">
      <x:c r="A25" s="9">
        <x:v>13</x:v>
      </x:c>
      <x:c r="B25" s="8" t="s">
        <x:v>39</x:v>
      </x:c>
      <x:c r="C25" s="8" t="s">
        <x:v>40</x:v>
      </x:c>
      <x:c r="D25" s="8" t="str">
        <x:v>Sí</x:v>
      </x:c>
      <x:c r="E25" s="8" t="str">
        <x:v>Los datos declaran la adaptación de las páginas 79–84 del libro.</x:v>
      </x:c>
      <x:c r="F25" s="8" t="str">
        <x:v>silabasInversasData.js</x:v>
      </x:c>
      <x:c r="G25" s="8" t="str">
        <x:v>No</x:v>
      </x:c>
      <x:c r="H25" s="9" t="str"/>
    </x:row>
    <x:row r="26" ht="26.399999618530273" hidden="0" customHeight="1">
      <x:c r="A26" s="9">
        <x:v>14</x:v>
      </x:c>
      <x:c r="B26" s="8" t="s">
        <x:v>39</x:v>
      </x:c>
      <x:c r="C26" s="8" t="s">
        <x:v>41</x:v>
      </x:c>
      <x:c r="D26" s="8" t="str">
        <x:v>Sí</x:v>
      </x:c>
      <x:c r="E26" s="8" t="str">
        <x:v>Se conservan las lecturas asociadas a L, S y N.</x:v>
      </x:c>
      <x:c r="F26" s="8" t="str">
        <x:v>silabasInversasData.js</x:v>
      </x:c>
      <x:c r="G26" s="8" t="str">
        <x:v>No</x:v>
      </x:c>
      <x:c r="H26" s="9" t="str"/>
    </x:row>
    <x:row r="27" ht="26.399999618530273" hidden="0" customHeight="1">
      <x:c r="A27" s="9">
        <x:v>15</x:v>
      </x:c>
      <x:c r="B27" s="8" t="s">
        <x:v>39</x:v>
      </x:c>
      <x:c r="C27" s="8" t="s">
        <x:v>42</x:v>
      </x:c>
      <x:c r="D27" s="8" t="str">
        <x:v>Sí</x:v>
      </x:c>
      <x:c r="E27" s="8" t="str">
        <x:v>La escritura se adapta a selección, relación y completar oraciones.</x:v>
      </x:c>
      <x:c r="F27" s="8" t="str">
        <x:v>Páginas L, S y N</x:v>
      </x:c>
      <x:c r="G27" s="8" t="str">
        <x:v>No</x:v>
      </x:c>
      <x:c r="H27" s="9" t="str"/>
    </x:row>
    <x:row r="28" ht="26.399999618530273" hidden="0" customHeight="1">
      <x:c r="A28" s="9">
        <x:v>16</x:v>
      </x:c>
      <x:c r="B28" s="8" t="s">
        <x:v>39</x:v>
      </x:c>
      <x:c r="C28" s="8" t="s">
        <x:v>43</x:v>
      </x:c>
      <x:c r="D28" s="8" t="str">
        <x:v>Sí</x:v>
      </x:c>
      <x:c r="E28" s="8" t="str">
        <x:v>Las instrucciones son breves, accionables y aptas para primer grado.</x:v>
      </x:c>
      <x:c r="F28" s="8" t="str">
        <x:v>Páginas L, S y N</x:v>
      </x:c>
      <x:c r="G28" s="8" t="str">
        <x:v>No</x:v>
      </x:c>
      <x:c r="H28" s="9" t="str"/>
    </x:row>
    <x:row r="29" ht="26.399999618530273" hidden="0" customHeight="1">
      <x:c r="A29" s="9">
        <x:v>17</x:v>
      </x:c>
      <x:c r="B29" s="8" t="s">
        <x:v>39</x:v>
      </x:c>
      <x:c r="C29" s="8" t="s">
        <x:v>44</x:v>
      </x:c>
      <x:c r="D29" s="8" t="str">
        <x:v>Sí</x:v>
      </x:c>
      <x:c r="E29" s="8" t="str">
        <x:v>Presenta al/el/il/ol/ul, as/es/is/os/us y an/en/in/on/un de forma explícita.</x:v>
      </x:c>
      <x:c r="F29" s="8" t="str">
        <x:v>Páginas L, S y N</x:v>
      </x:c>
      <x:c r="G29" s="8" t="str">
        <x:v>No</x:v>
      </x:c>
      <x:c r="H29" s="9" t="str"/>
    </x:row>
    <x:row r="30" ht="26.399999618530273" hidden="0" customHeight="1">
      <x:c r="A30" s="9">
        <x:v>18</x:v>
      </x:c>
      <x:c r="B30" s="8" t="s">
        <x:v>45</x:v>
      </x:c>
      <x:c r="C30" s="8" t="s">
        <x:v>46</x:v>
      </x:c>
      <x:c r="D30" s="8" t="str">
        <x:v>Sí</x:v>
      </x:c>
      <x:c r="E30" s="8" t="str">
        <x:v>Las 36 rutas de imagen referenciadas existen en public/images.</x:v>
      </x:c>
      <x:c r="F30" s="8" t="str">
        <x:v>silabasInversasData.js</x:v>
      </x:c>
      <x:c r="G30" s="8" t="str">
        <x:v>No</x:v>
      </x:c>
      <x:c r="H30" s="9" t="str"/>
    </x:row>
    <x:row r="31" ht="26.399999618530273" hidden="0" customHeight="1">
      <x:c r="A31" s="9">
        <x:v>19</x:v>
      </x:c>
      <x:c r="B31" s="8" t="s">
        <x:v>45</x:v>
      </x:c>
      <x:c r="C31" s="8" t="s">
        <x:v>47</x:v>
      </x:c>
      <x:c r="D31" s="8" t="str">
        <x:v>Sí</x:v>
      </x:c>
      <x:c r="E31" s="8" t="str">
        <x:v>Las imágenes usan object-fit: contain y rutas locales consistentes.</x:v>
      </x:c>
      <x:c r="F31" s="8" t="str">
        <x:v>selection.css, reading.css</x:v>
      </x:c>
      <x:c r="G31" s="8" t="str">
        <x:v>No</x:v>
      </x:c>
      <x:c r="H31" s="9" t="str"/>
    </x:row>
    <x:row r="32" ht="26.399999618530273" hidden="0" customHeight="1">
      <x:c r="A32" s="9">
        <x:v>20</x:v>
      </x:c>
      <x:c r="B32" s="8" t="s">
        <x:v>45</x:v>
      </x:c>
      <x:c r="C32" s="8" t="s">
        <x:v>48</x:v>
      </x:c>
      <x:c r="D32" s="8" t="str">
        <x:v>No</x:v>
      </x:c>
      <x:c r="E32" s="8" t="str">
        <x:v>Hay imágenes con alt vacío que contienen información de la actividad.</x:v>
      </x:c>
      <x:c r="F32" s="8" t="str">
        <x:v>Páginas S y N</x:v>
      </x:c>
      <x:c r="G32" s="8" t="str">
        <x:v>Sí</x:v>
      </x:c>
      <x:c r="H32" s="9" t="n">
        <x:v>2</x:v>
      </x:c>
    </x:row>
    <x:row r="33" ht="39.599998474121094" hidden="0" customHeight="1">
      <x:c r="A33" s="9">
        <x:v>21</x:v>
      </x:c>
      <x:c r="B33" s="8" t="s">
        <x:v>49</x:v>
      </x:c>
      <x:c r="C33" s="8" t="s">
        <x:v>50</x:v>
      </x:c>
      <x:c r="D33" s="8" t="str">
        <x:v>Sí</x:v>
      </x:c>
      <x:c r="E33" s="8" t="str">
        <x:v>Hay botones de audio para instrucciones, sílabas, lecturas y palabras.</x:v>
      </x:c>
      <x:c r="F33" s="8" t="str">
        <x:v>Páginas L, S y N</x:v>
      </x:c>
      <x:c r="G33" s="8" t="str">
        <x:v>No</x:v>
      </x:c>
      <x:c r="H33" s="9" t="str"/>
    </x:row>
    <x:row r="34" ht="39.599998474121094" hidden="0" customHeight="1">
      <x:c r="A34" s="9">
        <x:v>22</x:v>
      </x:c>
      <x:c r="B34" s="8" t="s">
        <x:v>49</x:v>
      </x:c>
      <x:c r="C34" s="8" t="s">
        <x:v>51</x:v>
      </x:c>
      <x:c r="D34" s="8" t="str">
        <x:v>No</x:v>
      </x:c>
      <x:c r="E34" s="8" t="str">
        <x:v>No existe public/audio/silabas-inversas; los controles no pueden reproducir sus archivos.</x:v>
      </x:c>
      <x:c r="F34" s="8" t="str">
        <x:v>silabasInversasData.js</x:v>
      </x:c>
      <x:c r="G34" s="8" t="str">
        <x:v>Sí</x:v>
      </x:c>
      <x:c r="H34" s="9" t="n">
        <x:v>1</x:v>
      </x:c>
    </x:row>
    <x:row r="35" ht="26.399999618530273" hidden="0" customHeight="1">
      <x:c r="A35" s="9">
        <x:v>23</x:v>
      </x:c>
      <x:c r="B35" s="8" t="s">
        <x:v>52</x:v>
      </x:c>
      <x:c r="C35" s="8" t="s">
        <x:v>53</x:v>
      </x:c>
      <x:c r="D35" s="8" t="str">
        <x:v>Sí</x:v>
      </x:c>
      <x:c r="E35" s="8" t="str">
        <x:v>Las rutas de regreso y las rutas entre actividades están definidas.</x:v>
      </x:c>
      <x:c r="F35" s="8" t="str">
        <x:v>AppRouter.jsx y páginas L/S/N</x:v>
      </x:c>
      <x:c r="G35" s="8" t="str">
        <x:v>No</x:v>
      </x:c>
      <x:c r="H35" s="9" t="str"/>
    </x:row>
    <x:row r="36" ht="26.399999618530273" hidden="0" customHeight="1">
      <x:c r="A36" s="9">
        <x:v>24</x:v>
      </x:c>
      <x:c r="B36" s="8" t="s">
        <x:v>52</x:v>
      </x:c>
      <x:c r="C36" s="8" t="s">
        <x:v>54</x:v>
      </x:c>
      <x:c r="D36" s="8" t="str">
        <x:v>Sí</x:v>
      </x:c>
      <x:c r="E36" s="8" t="str">
        <x:v>Las cuatro rutas de la lección están declaradas en AppRouter.</x:v>
      </x:c>
      <x:c r="F36" s="8" t="str">
        <x:v>AppRouter.jsx</x:v>
      </x:c>
      <x:c r="G36" s="8" t="str">
        <x:v>No</x:v>
      </x:c>
      <x:c r="H36" s="9" t="str"/>
    </x:row>
    <x:row r="37" ht="26.399999618530273" hidden="0" customHeight="1">
      <x:c r="A37" s="9">
        <x:v>25</x:v>
      </x:c>
      <x:c r="B37" s="8" t="s">
        <x:v>55</x:v>
      </x:c>
      <x:c r="C37" s="8" t="s">
        <x:v>56</x:v>
      </x:c>
      <x:c r="D37" s="8" t="str">
        <x:v>Sí</x:v>
      </x:c>
      <x:c r="E37" s="8" t="str">
        <x:v>Las validaciones comparan contra los datos correctos de cada ejercicio.</x:v>
      </x:c>
      <x:c r="F37" s="8" t="str">
        <x:v>Páginas L, S y N</x:v>
      </x:c>
      <x:c r="G37" s="8" t="str">
        <x:v>No</x:v>
      </x:c>
      <x:c r="H37" s="9" t="str"/>
    </x:row>
    <x:row r="38" ht="39.599998474121094" hidden="0" customHeight="1">
      <x:c r="A38" s="9">
        <x:v>26</x:v>
      </x:c>
      <x:c r="B38" s="8" t="s">
        <x:v>55</x:v>
      </x:c>
      <x:c r="C38" s="8" t="s">
        <x:v>57</x:v>
      </x:c>
      <x:c r="D38" s="8" t="str">
        <x:v>Sí</x:v>
      </x:c>
      <x:c r="E38" s="8" t="str">
        <x:v>Muestra selección, acierto, reintento y finalización mediante estados y mensajes.</x:v>
      </x:c>
      <x:c r="F38" s="8" t="str">
        <x:v>Páginas L, S y N</x:v>
      </x:c>
      <x:c r="G38" s="8" t="str">
        <x:v>No</x:v>
      </x:c>
      <x:c r="H38" s="9" t="str"/>
    </x:row>
    <x:row r="39" ht="39.599998474121094" hidden="0" customHeight="1">
      <x:c r="A39" s="9">
        <x:v>27</x:v>
      </x:c>
      <x:c r="B39" s="8" t="s">
        <x:v>55</x:v>
      </x:c>
      <x:c r="C39" s="8" t="s">
        <x:v>58</x:v>
      </x:c>
      <x:c r="D39" s="8" t="str">
        <x:v>Sí</x:v>
      </x:c>
      <x:c r="E39" s="8" t="str">
        <x:v>Comprobar está deshabilitado sin respuesta y avanzar aparece tras acertar.</x:v>
      </x:c>
      <x:c r="F39" s="8" t="str">
        <x:v>Páginas L, S y N</x:v>
      </x:c>
      <x:c r="G39" s="8" t="str">
        <x:v>No</x:v>
      </x:c>
      <x:c r="H39" s="9" t="str"/>
    </x:row>
    <x:row r="40" ht="26.399999618530273" hidden="0" customHeight="1">
      <x:c r="A40" s="9">
        <x:v>28</x:v>
      </x:c>
      <x:c r="B40" s="8" t="s">
        <x:v>55</x:v>
      </x:c>
      <x:c r="C40" s="8" t="s">
        <x:v>59</x:v>
      </x:c>
      <x:c r="D40" s="8" t="str">
        <x:v>Sí</x:v>
      </x:c>
      <x:c r="E40" s="8" t="str">
        <x:v>ProgressBar refleja 5 fases en L/S y 6 en N; progreso registra intentos.</x:v>
      </x:c>
      <x:c r="F40" s="8" t="str">
        <x:v>Páginas L, S y N; progreso.js</x:v>
      </x:c>
      <x:c r="G40" s="8" t="str">
        <x:v>No</x:v>
      </x:c>
      <x:c r="H40" s="9" t="str"/>
    </x:row>
    <x:row r="41" ht="39.599998474121094" hidden="0" customHeight="1">
      <x:c r="A41" s="9">
        <x:v>29</x:v>
      </x:c>
      <x:c r="B41" s="8" t="s">
        <x:v>60</x:v>
      </x:c>
      <x:c r="C41" s="8" t="s">
        <x:v>61</x:v>
      </x:c>
      <x:c r="D41" s="8" t="str">
        <x:v>No</x:v>
      </x:c>
      <x:c r="E41" s="8" t="str">
        <x:v>Algunas opciones formadas solo por imagen no tienen nombre accesible.</x:v>
      </x:c>
      <x:c r="F41" s="8" t="str">
        <x:v>ActividadSilabasInversasSPage.jsx</x:v>
      </x:c>
      <x:c r="G41" s="8" t="str">
        <x:v>Sí</x:v>
      </x:c>
      <x:c r="H41" s="9" t="n">
        <x:v>2</x:v>
      </x:c>
    </x:row>
    <x:row r="42" ht="26.399999618530273" hidden="0" customHeight="1">
      <x:c r="A42" s="9">
        <x:v>30</x:v>
      </x:c>
      <x:c r="B42" s="8" t="s">
        <x:v>62</x:v>
      </x:c>
      <x:c r="C42" s="8" t="s">
        <x:v>63</x:v>
      </x:c>
      <x:c r="D42" s="8" t="str">
        <x:v>Sí</x:v>
      </x:c>
      <x:c r="E42" s="8" t="str">
        <x:v>ESLint focalizado en los cinco archivos de la lección no reporta errores.</x:v>
      </x:c>
      <x:c r="F42" s="8" t="str">
        <x:v>Páginas y datos de Sílabas inversas</x:v>
      </x:c>
      <x:c r="G42" s="8" t="str">
        <x:v>No</x:v>
      </x:c>
      <x:c r="H42" s="9" t="str"/>
    </x:row>
    <x:row r="43" ht="26.399999618530273" hidden="0" customHeight="1">
      <x:c r="A43" s="9">
        <x:v>31</x:v>
      </x:c>
      <x:c r="B43" s="8" t="s">
        <x:v>62</x:v>
      </x:c>
      <x:c r="C43" s="8" t="s">
        <x:v>64</x:v>
      </x:c>
      <x:c r="D43" s="8" t="str">
        <x:v>Sí</x:v>
      </x:c>
      <x:c r="E43" s="8" t="str">
        <x:v>No se encontraron console.log ni código temporal en el alcance revisado.</x:v>
      </x:c>
      <x:c r="F43" s="8" t="str">
        <x:v>Páginas y datos de Sílabas inversas</x:v>
      </x:c>
      <x:c r="G43" s="8" t="str">
        <x:v>No</x:v>
      </x:c>
      <x:c r="H43" s="9" t="str"/>
    </x:row>
    <x:row r="44" ht="52.79999923706055" hidden="0" customHeight="1">
      <x:c r="A44" s="9">
        <x:v>32</x:v>
      </x:c>
      <x:c r="B44" s="8" t="s">
        <x:v>65</x:v>
      </x:c>
      <x:c r="C44" s="8" t="s">
        <x:v>66</x:v>
      </x:c>
      <x:c r="D44" s="8" t="str">
        <x:v>N/A</x:v>
      </x:c>
      <x:c r="E44" s="8" t="str">
        <x:v>Build de producción correcto; recorrido manual completo pendiente por servidor local no accesible al navegador de QA.</x:v>
      </x:c>
      <x:c r="F44" s="8" t="str">
        <x:v>npm.cmd run build</x:v>
      </x:c>
      <x:c r="G44" s="8" t="str">
        <x:v>No</x:v>
      </x:c>
      <x:c r="H44" s="9" t="str"/>
    </x:row>
    <x:row r="45" ht="39.599998474121094" hidden="0" customHeight="1">
      <x:c r="A45" s="9">
        <x:v>33</x:v>
      </x:c>
      <x:c r="B45" s="9" t="s">
        <x:v>65</x:v>
      </x:c>
      <x:c r="C45" s="9" t="s">
        <x:v>67</x:v>
      </x:c>
      <x:c r="D45" s="8" t="str">
        <x:v>N/A</x:v>
      </x:c>
      <x:c r="E45" s="9" t="str">
        <x:v>Pendiente comprobar manualmente acierto, error y reintento en cada fase dentro del navegador.</x:v>
      </x:c>
      <x:c r="F45" s="9" t="str">
        <x:v>Páginas L, S y N</x:v>
      </x:c>
      <x:c r="G45" s="9" t="str">
        <x:v>No</x:v>
      </x:c>
      <x:c r="H45" s="9" t="str"/>
    </x:row>
    <x:row r="48" ht="15.600000381469727">
      <x:c r="A48" s="15" t="s">
        <x:v>68</x:v>
      </x:c>
      <x:c r="B48" s="15"/>
      <x:c r="C48" s="16" t="str">
        <x:f>IF((COUNTIF(D13:D45,"Sí")+COUNTIF(D13:D45,"No")+COUNTIF(D13:D45,"N/A"))=0,"Pendiente de revisar",IF(COUNTIF(D13:D45,"No")&gt;0,"Requiere correcciones","Aprobado"))</x:f>
        <x:v>Requiere correcciones</x:v>
      </x:c>
      <x:c r="D48" s="16"/>
      <x:c r="E48" s="16"/>
      <x:c r="F48" s="16"/>
      <x:c r="G48" s="16"/>
      <x:c r="H48" s="16"/>
    </x:row>
    <x:row r="50" ht="25.649999618530273" customHeight="1">
      <x:c r="A50" s="13" t="s">
        <x:v>69</x:v>
      </x:c>
      <x:c r="B50" s="13"/>
      <x:c r="C50" s="13"/>
      <x:c r="D50" s="13"/>
      <x:c r="E50" s="13"/>
      <x:c r="F50" s="13"/>
      <x:c r="G50" s="13"/>
      <x:c r="H50" s="13"/>
    </x:row>
  </x:sheetData>
  <x:mergeCells>
    <x:mergeCell ref="A1:H1"/>
    <x:mergeCell ref="A2:H2"/>
    <x:mergeCell ref="A7:H7"/>
    <x:mergeCell ref="A8:B8"/>
    <x:mergeCell ref="C8:D8"/>
    <x:mergeCell ref="E8:F8"/>
    <x:mergeCell ref="G8:H8"/>
    <x:mergeCell ref="A50:H50"/>
    <x:mergeCell ref="A9:B9"/>
    <x:mergeCell ref="C9:D9"/>
    <x:mergeCell ref="E9:F9"/>
    <x:mergeCell ref="G9:H9"/>
    <x:mergeCell ref="A48:B48"/>
    <x:mergeCell ref="C48:H48"/>
  </x:mergeCells>
  <x:conditionalFormatting sqref="D13:D45">
    <x:cfRule type="expression" dxfId="7" priority="1">
      <x:formula>D13="Sí"</x:formula>
    </x:cfRule>
    <x:cfRule type="expression" dxfId="6" priority="2">
      <x:formula>D13="No"</x:formula>
    </x:cfRule>
    <x:cfRule type="expression" dxfId="5" priority="3">
      <x:formula>D13="N/A"</x:formula>
    </x:cfRule>
  </x:conditionalFormatting>
  <x:dataValidations count="1">
    <x:dataValidation type="list" sqref="G13:G45">
      <x:formula1>"Sí,No"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69921875" defaultRowHeight="13.800000190734863"/>
  <x:cols>
    <x:col min="1" max="1" width="7" customWidth="1"/>
    <x:col min="2" max="2" width="16" customWidth="1"/>
    <x:col min="3" max="3" width="12" customWidth="1"/>
    <x:col min="4" max="4" width="38" customWidth="1"/>
    <x:col min="5" max="5" width="26" customWidth="1"/>
    <x:col min="6" max="6" width="30" customWidth="1"/>
    <x:col min="7" max="7" width="34" customWidth="1"/>
    <x:col min="8" max="8" width="14" customWidth="1"/>
    <x:col min="9" max="9" width="24" customWidth="1"/>
    <x:col min="10" max="10" width="15" customWidth="1"/>
    <x:col min="11" max="11" width="34" customWidth="1"/>
  </x:cols>
  <x:sheetData>
    <x:row r="1" ht="22.350000381469727" customHeight="1">
      <x:c r="A1" s="21" t="s">
        <x:v>70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</x:row>
    <x:row r="2" ht="22.350000381469727" customHeight="1">
      <x:c r="A2" s="22" t="s">
        <x:v>71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</x:row>
    <x:row r="4" ht="28.950000762939453" customHeight="1">
      <x:c r="A4" s="11" t="s">
        <x:v>16</x:v>
      </x:c>
      <x:c r="B4" s="11" t="s">
        <x:v>72</x:v>
      </x:c>
      <x:c r="C4" s="11" t="s">
        <x:v>73</x:v>
      </x:c>
      <x:c r="D4" s="11" t="s">
        <x:v>74</x:v>
      </x:c>
      <x:c r="E4" s="11" t="s">
        <x:v>21</x:v>
      </x:c>
      <x:c r="F4" s="11" t="s">
        <x:v>75</x:v>
      </x:c>
      <x:c r="G4" s="11" t="s">
        <x:v>76</x:v>
      </x:c>
      <x:c r="H4" s="11" t="s">
        <x:v>77</x:v>
      </x:c>
      <x:c r="I4" s="11" t="s">
        <x:v>78</x:v>
      </x:c>
      <x:c r="J4" s="11" t="s">
        <x:v>79</x:v>
      </x:c>
      <x:c r="K4" s="11" t="s">
        <x:v>80</x:v>
      </x:c>
    </x:row>
    <x:row r="5" ht="60" customHeight="1">
      <x:c r="A5" s="3" t="n">
        <x:v>1</x:v>
      </x:c>
      <x:c r="B5" s="2" t="str">
        <x:v>Funcional</x:v>
      </x:c>
      <x:c r="C5" s="2" t="str">
        <x:v>Media</x:v>
      </x:c>
      <x:c r="D5" s="2" t="str">
        <x:v>Faltan todos los archivos de audio de Sílabas inversas. Los botones invocan rutas bajo /audio/silabas-inversas/, pero la carpeta no existe en public.</x:v>
      </x:c>
      <x:c r="E5" s="2" t="str">
        <x:v>Lección Sílabas inversas</x:v>
      </x:c>
      <x:c r="F5" s="2" t="str">
        <x:v>src/data/silabasInversasData.js; public/audio/silabas-inversas/</x:v>
      </x:c>
      <x:c r="G5" s="2" t="str"/>
      <x:c r="H5" s="2" t="str">
        <x:v>Pendiente</x:v>
      </x:c>
      <x:c r="I5" s="2" t="str">
        <x:v>Adriana</x:v>
      </x:c>
      <x:c r="J5" s="4" t="str"/>
      <x:c r="K5" s="3" t="str">
        <x:v>Agregar los MP3 con los nombres referenciados y validar su reproducción.</x:v>
      </x:c>
    </x:row>
    <x:row r="6" ht="60" customHeight="1">
      <x:c r="A6" s="3" t="n">
        <x:v>2</x:v>
      </x:c>
      <x:c r="B6" s="2" t="str">
        <x:v>Accesibilidad</x:v>
      </x:c>
      <x:c r="C6" s="2" t="str">
        <x:v>Media</x:v>
      </x:c>
      <x:c r="D6" s="2" t="str">
        <x:v>Hay imágenes funcionales con alt vacío y botones de opción sin nombre accesible, especialmente en las oraciones de S.</x:v>
      </x:c>
      <x:c r="E6" s="2" t="str">
        <x:v>Actividad S / actividad N</x:v>
      </x:c>
      <x:c r="F6" s="2" t="str">
        <x:v>ActividadSilabasInversasSPage.jsx: opciones de oraciones; ActividadSilabasInversasNPage.jsx: imagen de nombrar</x:v>
      </x:c>
      <x:c r="G6" s="2" t="str"/>
      <x:c r="H6" s="2" t="str">
        <x:v>Pendiente</x:v>
      </x:c>
      <x:c r="I6" s="2" t="str">
        <x:v>Adriana</x:v>
      </x:c>
      <x:c r="J6" s="4" t="str"/>
      <x:c r="K6" s="3" t="str">
        <x:v>Asignar alt descriptivo o aria-label al botón según la imagen representada.</x:v>
      </x:c>
    </x:row>
    <x:row r="7" ht="60" customHeight="1">
      <x:c r="A7" s="3" t="n">
        <x:v>3</x:v>
      </x:c>
      <x:c r="B7" s="2" t="str">
        <x:v>Código / Estilos</x:v>
      </x:c>
      <x:c r="C7" s="2" t="str">
        <x:v>Baja</x:v>
      </x:c>
      <x:c r="D7" s="2" t="str">
        <x:v>Las opciones y respuestas usan button nativo en lugar del componente Button indicado por el criterio de la plantilla.</x:v>
      </x:c>
      <x:c r="E7" s="2" t="str">
        <x:v>Actividades L, S y N</x:v>
      </x:c>
      <x:c r="F7" s="2" t="str">
        <x:v>Páginas ActividadSilabasInversas[L|S|N]Page.jsx</x:v>
      </x:c>
      <x:c r="G7" s="2" t="str"/>
      <x:c r="H7" s="2" t="str">
        <x:v>Pendiente</x:v>
      </x:c>
      <x:c r="I7" s="2" t="str">
        <x:v>Adriana</x:v>
      </x:c>
      <x:c r="J7" s="4" t="str"/>
      <x:c r="K7" s="3" t="str">
        <x:v>Evaluar si Button puede aceptar el estilo selection-button sin perder estados ni accesibilidad.</x:v>
      </x:c>
    </x:row>
    <x:row r="8" ht="60" customHeight="1">
      <x:c r="A8" s="3">
        <x:v>4</x:v>
      </x:c>
      <x:c r="B8" s="2"/>
      <x:c r="C8" s="2"/>
      <x:c r="D8" s="2"/>
      <x:c r="E8" s="2"/>
      <x:c r="F8" s="2"/>
      <x:c r="G8" s="2"/>
      <x:c r="H8" s="2" t="s">
        <x:v>81</x:v>
      </x:c>
      <x:c r="I8" s="2"/>
      <x:c r="J8" s="4"/>
      <x:c r="K8" s="3"/>
    </x:row>
    <x:row r="9" ht="60" customHeight="1">
      <x:c r="A9" s="3">
        <x:v>5</x:v>
      </x:c>
      <x:c r="B9" s="2"/>
      <x:c r="C9" s="2"/>
      <x:c r="D9" s="2"/>
      <x:c r="E9" s="2"/>
      <x:c r="F9" s="2"/>
      <x:c r="G9" s="2"/>
      <x:c r="H9" s="2" t="s">
        <x:v>81</x:v>
      </x:c>
      <x:c r="I9" s="2"/>
      <x:c r="J9" s="4"/>
      <x:c r="K9" s="3"/>
    </x:row>
    <x:row r="10" ht="60" customHeight="1">
      <x:c r="A10" s="3">
        <x:v>6</x:v>
      </x:c>
      <x:c r="B10" s="2"/>
      <x:c r="C10" s="2"/>
      <x:c r="D10" s="2"/>
      <x:c r="E10" s="2"/>
      <x:c r="F10" s="2"/>
      <x:c r="G10" s="2"/>
      <x:c r="H10" s="2" t="s">
        <x:v>81</x:v>
      </x:c>
      <x:c r="I10" s="2"/>
      <x:c r="J10" s="4"/>
      <x:c r="K10" s="3"/>
    </x:row>
    <x:row r="11" ht="60" customHeight="1">
      <x:c r="A11" s="3">
        <x:v>7</x:v>
      </x:c>
      <x:c r="B11" s="2"/>
      <x:c r="C11" s="2"/>
      <x:c r="D11" s="2"/>
      <x:c r="E11" s="2"/>
      <x:c r="F11" s="2"/>
      <x:c r="G11" s="2"/>
      <x:c r="H11" s="2" t="s">
        <x:v>81</x:v>
      </x:c>
      <x:c r="I11" s="2"/>
      <x:c r="J11" s="4"/>
      <x:c r="K11" s="3"/>
    </x:row>
    <x:row r="12" ht="60" customHeight="1">
      <x:c r="A12" s="3">
        <x:v>8</x:v>
      </x:c>
      <x:c r="B12" s="2"/>
      <x:c r="C12" s="2"/>
      <x:c r="D12" s="2"/>
      <x:c r="E12" s="2"/>
      <x:c r="F12" s="2"/>
      <x:c r="G12" s="2"/>
      <x:c r="H12" s="2" t="s">
        <x:v>81</x:v>
      </x:c>
      <x:c r="I12" s="2"/>
      <x:c r="J12" s="4"/>
      <x:c r="K12" s="3"/>
    </x:row>
    <x:row r="13" ht="60" customHeight="1">
      <x:c r="A13" s="3">
        <x:v>9</x:v>
      </x:c>
      <x:c r="B13" s="2"/>
      <x:c r="C13" s="2"/>
      <x:c r="D13" s="2"/>
      <x:c r="E13" s="2"/>
      <x:c r="F13" s="2"/>
      <x:c r="G13" s="2"/>
      <x:c r="H13" s="2" t="s">
        <x:v>81</x:v>
      </x:c>
      <x:c r="I13" s="2"/>
      <x:c r="J13" s="4"/>
      <x:c r="K13" s="3"/>
    </x:row>
    <x:row r="14" ht="60" customHeight="1">
      <x:c r="A14" s="3">
        <x:v>10</x:v>
      </x:c>
      <x:c r="B14" s="2"/>
      <x:c r="C14" s="2"/>
      <x:c r="D14" s="2"/>
      <x:c r="E14" s="2"/>
      <x:c r="F14" s="2"/>
      <x:c r="G14" s="2"/>
      <x:c r="H14" s="2" t="s">
        <x:v>81</x:v>
      </x:c>
      <x:c r="I14" s="2"/>
      <x:c r="J14" s="4"/>
      <x:c r="K14" s="3"/>
    </x:row>
    <x:row r="15" ht="60" customHeight="1">
      <x:c r="A15" s="3">
        <x:v>11</x:v>
      </x:c>
      <x:c r="B15" s="2"/>
      <x:c r="C15" s="2"/>
      <x:c r="D15" s="2"/>
      <x:c r="E15" s="2"/>
      <x:c r="F15" s="2"/>
      <x:c r="G15" s="2"/>
      <x:c r="H15" s="2" t="s">
        <x:v>81</x:v>
      </x:c>
      <x:c r="I15" s="2"/>
      <x:c r="J15" s="4"/>
      <x:c r="K15" s="3"/>
    </x:row>
    <x:row r="16" ht="60" customHeight="1">
      <x:c r="A16" s="3">
        <x:v>12</x:v>
      </x:c>
      <x:c r="B16" s="2"/>
      <x:c r="C16" s="2"/>
      <x:c r="D16" s="2"/>
      <x:c r="E16" s="2"/>
      <x:c r="F16" s="2"/>
      <x:c r="G16" s="2"/>
      <x:c r="H16" s="2" t="s">
        <x:v>81</x:v>
      </x:c>
      <x:c r="I16" s="2"/>
      <x:c r="J16" s="4"/>
      <x:c r="K16" s="3"/>
    </x:row>
    <x:row r="17" ht="60" customHeight="1">
      <x:c r="A17" s="3">
        <x:v>13</x:v>
      </x:c>
      <x:c r="B17" s="2"/>
      <x:c r="C17" s="2"/>
      <x:c r="D17" s="2"/>
      <x:c r="E17" s="2"/>
      <x:c r="F17" s="2"/>
      <x:c r="G17" s="2"/>
      <x:c r="H17" s="2" t="s">
        <x:v>81</x:v>
      </x:c>
      <x:c r="I17" s="2"/>
      <x:c r="J17" s="4"/>
      <x:c r="K17" s="3"/>
    </x:row>
    <x:row r="18" ht="60" customHeight="1">
      <x:c r="A18" s="3">
        <x:v>14</x:v>
      </x:c>
      <x:c r="B18" s="2"/>
      <x:c r="C18" s="2"/>
      <x:c r="D18" s="2"/>
      <x:c r="E18" s="2"/>
      <x:c r="F18" s="2"/>
      <x:c r="G18" s="2"/>
      <x:c r="H18" s="2" t="s">
        <x:v>81</x:v>
      </x:c>
      <x:c r="I18" s="2"/>
      <x:c r="J18" s="4"/>
      <x:c r="K18" s="3"/>
    </x:row>
    <x:row r="19" ht="60" customHeight="1">
      <x:c r="A19" s="3">
        <x:v>15</x:v>
      </x:c>
      <x:c r="B19" s="2"/>
      <x:c r="C19" s="2"/>
      <x:c r="D19" s="2"/>
      <x:c r="E19" s="2"/>
      <x:c r="F19" s="2"/>
      <x:c r="G19" s="2"/>
      <x:c r="H19" s="2" t="s">
        <x:v>81</x:v>
      </x:c>
      <x:c r="I19" s="2"/>
      <x:c r="J19" s="4"/>
      <x:c r="K19" s="3"/>
    </x:row>
    <x:row r="20" ht="60" customHeight="1">
      <x:c r="A20" s="3">
        <x:v>16</x:v>
      </x:c>
      <x:c r="B20" s="2"/>
      <x:c r="C20" s="2"/>
      <x:c r="D20" s="2"/>
      <x:c r="E20" s="2"/>
      <x:c r="F20" s="2"/>
      <x:c r="G20" s="2"/>
      <x:c r="H20" s="2" t="s">
        <x:v>81</x:v>
      </x:c>
      <x:c r="I20" s="2"/>
      <x:c r="J20" s="4"/>
      <x:c r="K20" s="3"/>
    </x:row>
    <x:row r="21" ht="60" customHeight="1">
      <x:c r="A21" s="3">
        <x:v>17</x:v>
      </x:c>
      <x:c r="B21" s="2"/>
      <x:c r="C21" s="2"/>
      <x:c r="D21" s="2"/>
      <x:c r="E21" s="2"/>
      <x:c r="F21" s="2"/>
      <x:c r="G21" s="2"/>
      <x:c r="H21" s="2" t="s">
        <x:v>81</x:v>
      </x:c>
      <x:c r="I21" s="2"/>
      <x:c r="J21" s="4"/>
      <x:c r="K21" s="3"/>
    </x:row>
    <x:row r="22" ht="60" customHeight="1">
      <x:c r="A22" s="3">
        <x:v>18</x:v>
      </x:c>
      <x:c r="B22" s="2"/>
      <x:c r="C22" s="2"/>
      <x:c r="D22" s="2"/>
      <x:c r="E22" s="2"/>
      <x:c r="F22" s="2"/>
      <x:c r="G22" s="2"/>
      <x:c r="H22" s="2" t="s">
        <x:v>81</x:v>
      </x:c>
      <x:c r="I22" s="2"/>
      <x:c r="J22" s="4"/>
      <x:c r="K22" s="3"/>
    </x:row>
    <x:row r="23" ht="60" customHeight="1">
      <x:c r="A23" s="3">
        <x:v>19</x:v>
      </x:c>
      <x:c r="B23" s="2"/>
      <x:c r="C23" s="2"/>
      <x:c r="D23" s="2"/>
      <x:c r="E23" s="2"/>
      <x:c r="F23" s="2"/>
      <x:c r="G23" s="2"/>
      <x:c r="H23" s="2" t="s">
        <x:v>81</x:v>
      </x:c>
      <x:c r="I23" s="2"/>
      <x:c r="J23" s="4"/>
      <x:c r="K23" s="3"/>
    </x:row>
    <x:row r="24" ht="60" customHeight="1">
      <x:c r="A24" s="3">
        <x:v>20</x:v>
      </x:c>
      <x:c r="B24" s="2"/>
      <x:c r="C24" s="2"/>
      <x:c r="D24" s="2"/>
      <x:c r="E24" s="2"/>
      <x:c r="F24" s="2"/>
      <x:c r="G24" s="2"/>
      <x:c r="H24" s="2" t="s">
        <x:v>81</x:v>
      </x:c>
      <x:c r="I24" s="2"/>
      <x:c r="J24" s="4"/>
      <x:c r="K24" s="3"/>
    </x:row>
    <x:row r="25" ht="60" customHeight="1">
      <x:c r="A25" s="3">
        <x:v>21</x:v>
      </x:c>
      <x:c r="B25" s="2"/>
      <x:c r="C25" s="2"/>
      <x:c r="D25" s="2"/>
      <x:c r="E25" s="2"/>
      <x:c r="F25" s="2"/>
      <x:c r="G25" s="2"/>
      <x:c r="H25" s="2" t="s">
        <x:v>81</x:v>
      </x:c>
      <x:c r="I25" s="2"/>
      <x:c r="J25" s="4"/>
      <x:c r="K25" s="3"/>
    </x:row>
    <x:row r="26" ht="60" customHeight="1">
      <x:c r="A26" s="3">
        <x:v>22</x:v>
      </x:c>
      <x:c r="B26" s="2"/>
      <x:c r="C26" s="2"/>
      <x:c r="D26" s="2"/>
      <x:c r="E26" s="2"/>
      <x:c r="F26" s="2"/>
      <x:c r="G26" s="2"/>
      <x:c r="H26" s="2" t="s">
        <x:v>81</x:v>
      </x:c>
      <x:c r="I26" s="2"/>
      <x:c r="J26" s="4"/>
      <x:c r="K26" s="3"/>
    </x:row>
    <x:row r="27" ht="60" customHeight="1">
      <x:c r="A27" s="3">
        <x:v>23</x:v>
      </x:c>
      <x:c r="B27" s="2"/>
      <x:c r="C27" s="2"/>
      <x:c r="D27" s="2"/>
      <x:c r="E27" s="2"/>
      <x:c r="F27" s="2"/>
      <x:c r="G27" s="2"/>
      <x:c r="H27" s="2" t="s">
        <x:v>81</x:v>
      </x:c>
      <x:c r="I27" s="2"/>
      <x:c r="J27" s="4"/>
      <x:c r="K27" s="3"/>
    </x:row>
    <x:row r="28" ht="60" customHeight="1">
      <x:c r="A28" s="3">
        <x:v>24</x:v>
      </x:c>
      <x:c r="B28" s="2"/>
      <x:c r="C28" s="2"/>
      <x:c r="D28" s="2"/>
      <x:c r="E28" s="2"/>
      <x:c r="F28" s="2"/>
      <x:c r="G28" s="2"/>
      <x:c r="H28" s="2" t="s">
        <x:v>81</x:v>
      </x:c>
      <x:c r="I28" s="2"/>
      <x:c r="J28" s="4"/>
      <x:c r="K28" s="3"/>
    </x:row>
    <x:row r="29" ht="60" customHeight="1">
      <x:c r="A29" s="3">
        <x:v>25</x:v>
      </x:c>
      <x:c r="B29" s="2"/>
      <x:c r="C29" s="2"/>
      <x:c r="D29" s="2"/>
      <x:c r="E29" s="2"/>
      <x:c r="F29" s="2"/>
      <x:c r="G29" s="2"/>
      <x:c r="H29" s="2" t="s">
        <x:v>81</x:v>
      </x:c>
      <x:c r="I29" s="2"/>
      <x:c r="J29" s="4"/>
      <x:c r="K29" s="3"/>
    </x:row>
    <x:row r="30" ht="60" customHeight="1">
      <x:c r="A30" s="3">
        <x:v>26</x:v>
      </x:c>
      <x:c r="B30" s="2"/>
      <x:c r="C30" s="2"/>
      <x:c r="D30" s="2"/>
      <x:c r="E30" s="2"/>
      <x:c r="F30" s="2"/>
      <x:c r="G30" s="2"/>
      <x:c r="H30" s="2" t="s">
        <x:v>81</x:v>
      </x:c>
      <x:c r="I30" s="2"/>
      <x:c r="J30" s="4"/>
      <x:c r="K30" s="3"/>
    </x:row>
    <x:row r="31" ht="60" customHeight="1">
      <x:c r="A31" s="3">
        <x:v>27</x:v>
      </x:c>
      <x:c r="B31" s="2"/>
      <x:c r="C31" s="2"/>
      <x:c r="D31" s="2"/>
      <x:c r="E31" s="2"/>
      <x:c r="F31" s="2"/>
      <x:c r="G31" s="2"/>
      <x:c r="H31" s="2" t="s">
        <x:v>81</x:v>
      </x:c>
      <x:c r="I31" s="2"/>
      <x:c r="J31" s="4"/>
      <x:c r="K31" s="3"/>
    </x:row>
    <x:row r="32" ht="60" customHeight="1">
      <x:c r="A32" s="3">
        <x:v>28</x:v>
      </x:c>
      <x:c r="B32" s="2"/>
      <x:c r="C32" s="2"/>
      <x:c r="D32" s="2"/>
      <x:c r="E32" s="2"/>
      <x:c r="F32" s="2"/>
      <x:c r="G32" s="2"/>
      <x:c r="H32" s="2" t="s">
        <x:v>81</x:v>
      </x:c>
      <x:c r="I32" s="2"/>
      <x:c r="J32" s="4"/>
      <x:c r="K32" s="3"/>
    </x:row>
    <x:row r="33" ht="60" customHeight="1">
      <x:c r="A33" s="3">
        <x:v>29</x:v>
      </x:c>
      <x:c r="B33" s="2"/>
      <x:c r="C33" s="2"/>
      <x:c r="D33" s="2"/>
      <x:c r="E33" s="2"/>
      <x:c r="F33" s="2"/>
      <x:c r="G33" s="2"/>
      <x:c r="H33" s="2" t="s">
        <x:v>81</x:v>
      </x:c>
      <x:c r="I33" s="2"/>
      <x:c r="J33" s="4"/>
      <x:c r="K33" s="3"/>
    </x:row>
    <x:row r="34" ht="60" customHeight="1">
      <x:c r="A34" s="3">
        <x:v>30</x:v>
      </x:c>
      <x:c r="B34" s="3"/>
      <x:c r="C34" s="3"/>
      <x:c r="D34" s="3"/>
      <x:c r="E34" s="3"/>
      <x:c r="F34" s="3"/>
      <x:c r="G34" s="3"/>
      <x:c r="H34" s="3" t="s">
        <x:v>81</x:v>
      </x:c>
      <x:c r="I34" s="3"/>
      <x:c r="J34" s="12"/>
      <x:c r="K34" s="3"/>
    </x:row>
    <x:row r="36">
      <x:c r="A36" s="23" t="s">
        <x:v>82</x:v>
      </x:c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</x:row>
    <x:row r="37" ht="27.149999618530273" customHeight="1">
      <x:c r="A37" s="24" t="s">
        <x:v>83</x:v>
      </x:c>
      <x:c r="B37" s="24"/>
      <x:c r="C37" s="24"/>
      <x:c r="D37" s="24"/>
      <x:c r="E37" s="24"/>
      <x:c r="F37" s="24"/>
      <x:c r="G37" s="24"/>
      <x:c r="H37" s="24"/>
      <x:c r="I37" s="24"/>
      <x:c r="J37" s="24"/>
      <x:c r="K37" s="24"/>
    </x:row>
  </x:sheetData>
  <x:mergeCells>
    <x:mergeCell ref="A1:K1"/>
    <x:mergeCell ref="A2:K2"/>
    <x:mergeCell ref="A36:K36"/>
    <x:mergeCell ref="A37:K37"/>
  </x:mergeCells>
  <x:conditionalFormatting sqref="C5:C34">
    <x:cfRule type="expression" dxfId="4" priority="1">
      <x:formula>C5="Alta"</x:formula>
    </x:cfRule>
    <x:cfRule type="expression" dxfId="3" priority="2">
      <x:formula>C5="Media"</x:formula>
    </x:cfRule>
    <x:cfRule type="expression" dxfId="2" priority="3">
      <x:formula>C5="Baja"</x:formula>
    </x:cfRule>
  </x:conditionalFormatting>
  <x:conditionalFormatting sqref="H5:H34">
    <x:cfRule type="expression" dxfId="1" priority="4">
      <x:formula>H5="Pendiente"</x:formula>
    </x:cfRule>
    <x:cfRule type="expression" dxfId="0" priority="5">
      <x:formula>H5="Validado"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69921875" defaultRowHeight="13.800000190734863"/>
  <x:cols>
    <x:col min="1" max="4" width="22" customWidth="1"/>
  </x:cols>
  <x:sheetData>
    <x:row r="1">
      <x:c r="A1" s="1" t="s">
        <x:v>19</x:v>
      </x:c>
      <x:c r="B1" s="1" t="s">
        <x:v>73</x:v>
      </x:c>
      <x:c r="C1" s="1" t="s">
        <x:v>84</x:v>
      </x:c>
      <x:c r="D1" s="1" t="s">
        <x:v>72</x:v>
      </x:c>
    </x:row>
    <x:row r="2">
      <x:c r="A2" t="s">
        <x:v>85</x:v>
      </x:c>
      <x:c r="B2" t="s">
        <x:v>86</x:v>
      </x:c>
      <x:c r="C2" t="s">
        <x:v>81</x:v>
      </x:c>
      <x:c r="D2" t="s">
        <x:v>87</x:v>
      </x:c>
    </x:row>
    <x:row r="3">
      <x:c r="A3" t="s">
        <x:v>88</x:v>
      </x:c>
      <x:c r="B3" t="s">
        <x:v>89</x:v>
      </x:c>
      <x:c r="C3" t="s">
        <x:v>90</x:v>
      </x:c>
      <x:c r="D3" t="s">
        <x:v>91</x:v>
      </x:c>
    </x:row>
    <x:row r="4">
      <x:c r="A4" t="s">
        <x:v>15</x:v>
      </x:c>
      <x:c r="B4" t="s">
        <x:v>92</x:v>
      </x:c>
      <x:c r="C4" t="s">
        <x:v>93</x:v>
      </x:c>
      <x:c r="D4" t="s">
        <x:v>39</x:v>
      </x:c>
    </x:row>
    <x:row r="5">
      <x:c r="C5" t="s">
        <x:v>15</x:v>
      </x:c>
      <x:c r="D5" t="s">
        <x:v>94</x:v>
      </x:c>
    </x:row>
  </x:sheetData>
  <x:pageMargins left="0.7" right="0.7" top="0.75" bottom="0.75" header="0.3" footer="0.3"/>
</x:worksheet>
</file>